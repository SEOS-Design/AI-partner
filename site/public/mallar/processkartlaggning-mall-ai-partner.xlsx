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äs mig" sheetId="1" state="visible" r:id="rId1"/>
    <sheet xmlns:r="http://schemas.openxmlformats.org/officeDocument/2006/relationships" name="Processkarta" sheetId="2" state="visible" r:id="rId2"/>
    <sheet xmlns:r="http://schemas.openxmlformats.org/officeDocument/2006/relationships" name="Priorite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E0E0E"/>
      </patternFill>
    </fill>
    <fill>
      <patternFill patternType="solid">
        <fgColor rgb="00FFF9D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1" fontId="6" fillId="3" borderId="1" applyAlignment="1" pivotButton="0" quotePrefix="0" xfId="0">
      <alignment vertical="top" wrapText="1"/>
    </xf>
    <xf numFmtId="9" fontId="6" fillId="3" borderId="1" applyAlignment="1" pivotButton="0" quotePrefix="0" xfId="0">
      <alignment vertical="top" wrapText="1"/>
    </xf>
    <xf numFmtId="0" fontId="4" fillId="0" borderId="0" pivotButton="0" quotePrefix="0" xfId="0"/>
    <xf numFmtId="164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" fontId="7" fillId="0" borderId="1" applyAlignment="1" pivotButton="0" quotePrefix="0" xfId="0">
      <alignment vertical="top" wrapText="1"/>
    </xf>
    <xf numFmtId="0" fontId="6" fillId="4" borderId="1" pivotButton="0" quotePrefix="0" xfId="0"/>
    <xf numFmtId="9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AI Partner</author>
  </authors>
  <commentList>
    <comment ref="L1" authorId="0" shapeId="0">
      <text>
        <t>Andel av ärendena som avviker från huvudflödet. Skriv som procent (10 %).</t>
      </text>
    </comment>
    <comment ref="M1" authorId="0" shapeId="0">
      <text>
        <t>5 = exakt samma regler varje gång. 1 = varje ärende kräver bedömning.</t>
      </text>
    </comment>
  </commentList>
</comments>
</file>

<file path=xl/comments/comment2.xml><?xml version="1.0" encoding="utf-8"?>
<comments xmlns="http://schemas.openxmlformats.org/spreadsheetml/2006/main">
  <authors>
    <author>AI Partner</author>
  </authors>
  <commentList>
    <comment ref="H1" authorId="0" shapeId="0">
      <text>
        <t>Timmar per vecka × (1 − undantagsandel) × regelstabilitet / 5. Hög poäng = stor effekt, låg risk.</t>
      </text>
    </comment>
    <comment ref="I1" authorId="0" shapeId="0">
      <text>
        <t>Tumregel utifrån trösklarna i N2:O4. Ert beslut i kolumn J väger tyngre.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Processkartläggning inför automatisering – mall</t>
        </is>
      </c>
    </row>
    <row r="2">
      <c r="A2" s="2" t="inlineStr">
        <is>
          <t>Version 2026-10-28. Från AI Partner, aipartner.se/kunskapsbank/processkartlaggning. Fri att använda och sprida.</t>
        </is>
      </c>
    </row>
    <row r="3">
      <c r="A3" s="3" t="inlineStr"/>
    </row>
    <row r="4">
      <c r="A4" s="4" t="inlineStr">
        <is>
          <t>Vad mallen gör</t>
        </is>
      </c>
    </row>
    <row r="5">
      <c r="A5" s="3" t="inlineStr">
        <is>
          <t>Den samlar det ni behöver för att avgöra vilka processer som är värda att automatisera, med vilket verktyg och i vilken ordning. Resultatet är en prioriterad lista, inte ett diagram.</t>
        </is>
      </c>
    </row>
    <row r="6">
      <c r="A6" s="3" t="inlineStr"/>
    </row>
    <row r="7">
      <c r="A7" s="4" t="inlineStr">
        <is>
          <t>Så använder ni den</t>
        </is>
      </c>
    </row>
    <row r="8">
      <c r="A8" s="3" t="inlineStr">
        <is>
          <t>1. Fliken Processkarta: en rad per steg i processen. Fyll i tillsammans med de som utför arbetet – det är de som känner till undantagen. Grova uppskattningar av volym och tid räcker.</t>
        </is>
      </c>
    </row>
    <row r="9">
      <c r="A9" s="3" t="inlineStr">
        <is>
          <t>2. Fliken Prioritering: en rad per process. Skriv in volym, tid, undantagsandel, regelstabilitet och om det finns API. Mallen räknar timmar per vecka och en kandidatpoäng, föreslår lösningstyp och rangordnar processerna.</t>
        </is>
      </c>
    </row>
    <row r="10">
      <c r="A10" s="3" t="inlineStr">
        <is>
          <t>3. Kolumnen Ert beslut är er egen. Förslaget är en tumregel, inte ett facit – en process med låg poäng kan ändå vara värd att ta först om den skapar fel eller irritation hos kunder.</t>
        </is>
      </c>
    </row>
    <row r="11">
      <c r="A11" s="3" t="inlineStr"/>
    </row>
    <row r="12">
      <c r="A12" s="4" t="inlineStr">
        <is>
          <t>Färger</t>
        </is>
      </c>
    </row>
    <row r="13">
      <c r="A13" s="3" t="inlineStr">
        <is>
          <t>Ljusgula celler med blå text fylls i av er. Svart text är formler – rör dem inte. Gula celler under Antaganden på fliken Prioritering är tröskelvärden ni får ändra. De tre första raderna på varje flik är ifyllda exempel som visar formatet – skriv över dem.</t>
        </is>
      </c>
    </row>
    <row r="14">
      <c r="A14" s="3" t="inlineStr"/>
    </row>
    <row r="15">
      <c r="A15" s="4" t="inlineStr">
        <is>
          <t>Så räknas det</t>
        </is>
      </c>
    </row>
    <row r="16">
      <c r="A16" s="3" t="inlineStr">
        <is>
          <t>Timmar per vecka = volym per vecka × tid per ärende (minuter) / 60.</t>
        </is>
      </c>
    </row>
    <row r="17">
      <c r="A17" s="3" t="inlineStr">
        <is>
          <t>Kandidatpoäng = timmar per vecka × (1 − undantagsandel) × regelstabilitet / 5. Hög volym, få undantag och stabila regler ger hög poäng – där är effekten störst och risken lägst.</t>
        </is>
      </c>
    </row>
    <row r="18">
      <c r="A18" s="3" t="inlineStr">
        <is>
          <t>Föreslagen lösning (tumregel): under 1 timme per vecka → lämna som det är · undantagsandel på 20 % eller mer, eller regelstabilitet 1–2 → AI-agent (kräver bedömning) · annars: finns API eller integration → integration, saknas det → RPA.</t>
        </is>
      </c>
    </row>
    <row r="19">
      <c r="A19" s="3" t="inlineStr">
        <is>
          <t>Prioritet = rangordning efter kandidatpoäng (1 = högst).</t>
        </is>
      </c>
    </row>
    <row r="20">
      <c r="A20" s="3" t="inlineStr"/>
    </row>
    <row r="21">
      <c r="A21" s="4" t="inlineStr">
        <is>
          <t>Ordlista</t>
        </is>
      </c>
    </row>
    <row r="22">
      <c r="A22" s="3" t="inlineStr">
        <is>
          <t>Undantagsandel: andel av ärendena som inte följer huvudflödet. Regelstabilitet: 5 = exakt samma regler varje gång, 1 = varje ärende kräver bedömning. Inputformat: strukturerad (fält i ett system), blandad (mejl med bilaga), ostrukturerad (fritext, telefonsamtal). API: systemet kan kopplas ihop med andra system utan att någon klickar i gränssnittet.</t>
        </is>
      </c>
    </row>
    <row r="23">
      <c r="A23" s="3" t="inlineStr"/>
    </row>
    <row r="24">
      <c r="A24" s="2" t="inlineStr">
        <is>
          <t>Formlerna beräknas när filen öppnas i Excel eller Google Kalkylark. Öppnar ni den i en förhandsvisning utan beräkning ser formelcellerna tomma 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16" customWidth="1" min="4" max="4"/>
    <col width="20" customWidth="1" min="5" max="5"/>
    <col width="24" customWidth="1" min="6" max="6"/>
    <col width="24" customWidth="1" min="7" max="7"/>
    <col width="14" customWidth="1" min="8" max="8"/>
    <col width="14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 ht="42" customHeight="1">
      <c r="A1" s="5" t="inlineStr">
        <is>
          <t>Process</t>
        </is>
      </c>
      <c r="B1" s="5" t="inlineStr">
        <is>
          <t>Steg nr</t>
        </is>
      </c>
      <c r="C1" s="5" t="inlineStr">
        <is>
          <t>Steg – vad görs</t>
        </is>
      </c>
      <c r="D1" s="5" t="inlineStr">
        <is>
          <t>Roll / vem</t>
        </is>
      </c>
      <c r="E1" s="5" t="inlineStr">
        <is>
          <t>System</t>
        </is>
      </c>
      <c r="F1" s="5" t="inlineStr">
        <is>
          <t>Trigger – vad startar steget</t>
        </is>
      </c>
      <c r="G1" s="5" t="inlineStr">
        <is>
          <t>Output – vad lämnar steget</t>
        </is>
      </c>
      <c r="H1" s="5" t="inlineStr">
        <is>
          <t>Inputformat</t>
        </is>
      </c>
      <c r="I1" s="5" t="inlineStr">
        <is>
          <t>API eller integration finns?</t>
        </is>
      </c>
      <c r="J1" s="5" t="inlineStr">
        <is>
          <t>Volym per vecka</t>
        </is>
      </c>
      <c r="K1" s="5" t="inlineStr">
        <is>
          <t>Tid per ärende (min)</t>
        </is>
      </c>
      <c r="L1" s="5" t="inlineStr">
        <is>
          <t>Undantagsandel</t>
        </is>
      </c>
      <c r="M1" s="5" t="inlineStr">
        <is>
          <t>Regelstabilitet (1–5)</t>
        </is>
      </c>
      <c r="N1" s="5" t="inlineStr">
        <is>
          <t>Godkännande krävs?</t>
        </is>
      </c>
      <c r="O1" s="5" t="inlineStr">
        <is>
          <t>Undantag och kommentarer</t>
        </is>
      </c>
    </row>
    <row r="2">
      <c r="A2" s="6" t="inlineStr">
        <is>
          <t>Onboarding av ny medarbetare</t>
        </is>
      </c>
      <c r="B2" s="6" t="n">
        <v>1</v>
      </c>
      <c r="C2" s="6" t="inlineStr">
        <is>
          <t>Skapa konto och tilldela licens</t>
        </is>
      </c>
      <c r="D2" s="6" t="inlineStr">
        <is>
          <t>IT</t>
        </is>
      </c>
      <c r="E2" s="6" t="inlineStr">
        <is>
          <t>Microsoft 365 admin</t>
        </is>
      </c>
      <c r="F2" s="6" t="inlineStr">
        <is>
          <t>Mejl från HR med startdatum</t>
        </is>
      </c>
      <c r="G2" s="6" t="inlineStr">
        <is>
          <t>Aktivt konto med licens</t>
        </is>
      </c>
      <c r="H2" s="6" t="inlineStr">
        <is>
          <t>Strukturerad</t>
        </is>
      </c>
      <c r="I2" s="6" t="inlineStr">
        <is>
          <t>Ja</t>
        </is>
      </c>
      <c r="J2" s="7" t="n">
        <v>2</v>
      </c>
      <c r="K2" s="7" t="n">
        <v>20</v>
      </c>
      <c r="L2" s="8" t="n">
        <v>0.05</v>
      </c>
      <c r="M2" s="7" t="n">
        <v>5</v>
      </c>
      <c r="N2" s="6" t="inlineStr">
        <is>
          <t>Nej</t>
        </is>
      </c>
      <c r="O2" s="6" t="inlineStr">
        <is>
          <t>Fel licens väljs ibland när rollen är ny.</t>
        </is>
      </c>
    </row>
    <row r="3">
      <c r="A3" s="6" t="inlineStr">
        <is>
          <t>Onboarding av ny medarbetare</t>
        </is>
      </c>
      <c r="B3" s="6" t="n">
        <v>2</v>
      </c>
      <c r="C3" s="6" t="inlineStr">
        <is>
          <t>Skicka välkomstmejl, policyer och checklista</t>
        </is>
      </c>
      <c r="D3" s="6" t="inlineStr">
        <is>
          <t>HR</t>
        </is>
      </c>
      <c r="E3" s="6" t="inlineStr">
        <is>
          <t>Outlook, intranät</t>
        </is>
      </c>
      <c r="F3" s="6" t="inlineStr">
        <is>
          <t>Kontot är skapat</t>
        </is>
      </c>
      <c r="G3" s="6" t="inlineStr">
        <is>
          <t>Mejl skickat, läskvitto saknas</t>
        </is>
      </c>
      <c r="H3" s="6" t="inlineStr">
        <is>
          <t>Blandad</t>
        </is>
      </c>
      <c r="I3" s="6" t="inlineStr">
        <is>
          <t>Nej</t>
        </is>
      </c>
      <c r="J3" s="7" t="n">
        <v>2</v>
      </c>
      <c r="K3" s="7" t="n">
        <v>15</v>
      </c>
      <c r="L3" s="8" t="n">
        <v>0.1</v>
      </c>
      <c r="M3" s="7" t="n">
        <v>4</v>
      </c>
      <c r="N3" s="6" t="inlineStr">
        <is>
          <t>Nej</t>
        </is>
      </c>
      <c r="O3" s="6" t="inlineStr">
        <is>
          <t>Policyversionen är ibland inaktuell – kontrolleras för hand.</t>
        </is>
      </c>
    </row>
    <row r="4">
      <c r="A4" s="6" t="inlineStr">
        <is>
          <t>Onboarding av ny medarbetare</t>
        </is>
      </c>
      <c r="B4" s="6" t="n">
        <v>3</v>
      </c>
      <c r="C4" s="6" t="inlineStr">
        <is>
          <t>Svara på nya kollegans frågor första veckan</t>
        </is>
      </c>
      <c r="D4" s="6" t="inlineStr">
        <is>
          <t>Närmaste chef</t>
        </is>
      </c>
      <c r="E4" s="6" t="inlineStr">
        <is>
          <t>Teams, mejl</t>
        </is>
      </c>
      <c r="F4" s="6" t="inlineStr">
        <is>
          <t>Fråga från medarbetaren</t>
        </is>
      </c>
      <c r="G4" s="6" t="inlineStr">
        <is>
          <t>Svar, ofta samma som förra gången</t>
        </is>
      </c>
      <c r="H4" s="6" t="inlineStr">
        <is>
          <t>Ostrukturerad</t>
        </is>
      </c>
      <c r="I4" s="6" t="inlineStr">
        <is>
          <t>Nej</t>
        </is>
      </c>
      <c r="J4" s="7" t="n">
        <v>8</v>
      </c>
      <c r="K4" s="7" t="n">
        <v>10</v>
      </c>
      <c r="L4" s="8" t="n">
        <v>0.4</v>
      </c>
      <c r="M4" s="7" t="n">
        <v>2</v>
      </c>
      <c r="N4" s="6" t="inlineStr">
        <is>
          <t>Nej</t>
        </is>
      </c>
      <c r="O4" s="6" t="inlineStr">
        <is>
          <t>Samma fem frågor återkommer: prislista, avtalsmall, returer, semester, utlägg.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7" t="n"/>
      <c r="K5" s="7" t="n"/>
      <c r="L5" s="8" t="n"/>
      <c r="M5" s="7" t="n"/>
      <c r="N5" s="6" t="n"/>
      <c r="O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7" t="n"/>
      <c r="K6" s="7" t="n"/>
      <c r="L6" s="8" t="n"/>
      <c r="M6" s="7" t="n"/>
      <c r="N6" s="6" t="n"/>
      <c r="O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7" t="n"/>
      <c r="K7" s="7" t="n"/>
      <c r="L7" s="8" t="n"/>
      <c r="M7" s="7" t="n"/>
      <c r="N7" s="6" t="n"/>
      <c r="O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8" t="n"/>
      <c r="M8" s="7" t="n"/>
      <c r="N8" s="6" t="n"/>
      <c r="O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8" t="n"/>
      <c r="M9" s="7" t="n"/>
      <c r="N9" s="6" t="n"/>
      <c r="O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8" t="n"/>
      <c r="M10" s="7" t="n"/>
      <c r="N10" s="6" t="n"/>
      <c r="O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7" t="n"/>
      <c r="L11" s="8" t="n"/>
      <c r="M11" s="7" t="n"/>
      <c r="N11" s="6" t="n"/>
      <c r="O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  <c r="K12" s="7" t="n"/>
      <c r="L12" s="8" t="n"/>
      <c r="M12" s="7" t="n"/>
      <c r="N12" s="6" t="n"/>
      <c r="O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  <c r="K13" s="7" t="n"/>
      <c r="L13" s="8" t="n"/>
      <c r="M13" s="7" t="n"/>
      <c r="N13" s="6" t="n"/>
      <c r="O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8" t="n"/>
      <c r="M14" s="7" t="n"/>
      <c r="N14" s="6" t="n"/>
      <c r="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8" t="n"/>
      <c r="M15" s="7" t="n"/>
      <c r="N15" s="6" t="n"/>
      <c r="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8" t="n"/>
      <c r="M16" s="7" t="n"/>
      <c r="N16" s="6" t="n"/>
      <c r="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7" t="n"/>
      <c r="K17" s="7" t="n"/>
      <c r="L17" s="8" t="n"/>
      <c r="M17" s="7" t="n"/>
      <c r="N17" s="6" t="n"/>
      <c r="O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7" t="n"/>
      <c r="K18" s="7" t="n"/>
      <c r="L18" s="8" t="n"/>
      <c r="M18" s="7" t="n"/>
      <c r="N18" s="6" t="n"/>
      <c r="O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7" t="n"/>
      <c r="K19" s="7" t="n"/>
      <c r="L19" s="8" t="n"/>
      <c r="M19" s="7" t="n"/>
      <c r="N19" s="6" t="n"/>
      <c r="O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8" t="n"/>
      <c r="M20" s="7" t="n"/>
      <c r="N20" s="6" t="n"/>
      <c r="O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8" t="n"/>
      <c r="M21" s="7" t="n"/>
      <c r="N21" s="6" t="n"/>
      <c r="O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8" t="n"/>
      <c r="M22" s="7" t="n"/>
      <c r="N22" s="6" t="n"/>
      <c r="O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7" t="n"/>
      <c r="K23" s="7" t="n"/>
      <c r="L23" s="8" t="n"/>
      <c r="M23" s="7" t="n"/>
      <c r="N23" s="6" t="n"/>
      <c r="O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7" t="n"/>
      <c r="K24" s="7" t="n"/>
      <c r="L24" s="8" t="n"/>
      <c r="M24" s="7" t="n"/>
      <c r="N24" s="6" t="n"/>
      <c r="O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K25" s="7" t="n"/>
      <c r="L25" s="8" t="n"/>
      <c r="M25" s="7" t="n"/>
      <c r="N25" s="6" t="n"/>
      <c r="O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8" t="n"/>
      <c r="M26" s="7" t="n"/>
      <c r="N26" s="6" t="n"/>
      <c r="O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8" t="n"/>
      <c r="M27" s="7" t="n"/>
      <c r="N27" s="6" t="n"/>
      <c r="O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8" t="n"/>
      <c r="M28" s="7" t="n"/>
      <c r="N28" s="6" t="n"/>
      <c r="O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  <c r="K29" s="7" t="n"/>
      <c r="L29" s="8" t="n"/>
      <c r="M29" s="7" t="n"/>
      <c r="N29" s="6" t="n"/>
      <c r="O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7" t="n"/>
      <c r="L30" s="8" t="n"/>
      <c r="M30" s="7" t="n"/>
      <c r="N30" s="6" t="n"/>
      <c r="O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7" t="n"/>
      <c r="K31" s="7" t="n"/>
      <c r="L31" s="8" t="n"/>
      <c r="M31" s="7" t="n"/>
      <c r="N31" s="6" t="n"/>
      <c r="O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8" t="n"/>
      <c r="M32" s="7" t="n"/>
      <c r="N32" s="6" t="n"/>
      <c r="O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8" t="n"/>
      <c r="M33" s="7" t="n"/>
      <c r="N33" s="6" t="n"/>
      <c r="O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8" t="n"/>
      <c r="M34" s="7" t="n"/>
      <c r="N34" s="6" t="n"/>
      <c r="O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7" t="n"/>
      <c r="K35" s="7" t="n"/>
      <c r="L35" s="8" t="n"/>
      <c r="M35" s="7" t="n"/>
      <c r="N35" s="6" t="n"/>
      <c r="O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7" t="n"/>
      <c r="K36" s="7" t="n"/>
      <c r="L36" s="8" t="n"/>
      <c r="M36" s="7" t="n"/>
      <c r="N36" s="6" t="n"/>
      <c r="O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7" t="n"/>
      <c r="K37" s="7" t="n"/>
      <c r="L37" s="8" t="n"/>
      <c r="M37" s="7" t="n"/>
      <c r="N37" s="6" t="n"/>
      <c r="O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8" t="n"/>
      <c r="M38" s="7" t="n"/>
      <c r="N38" s="6" t="n"/>
      <c r="O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8" t="n"/>
      <c r="M39" s="7" t="n"/>
      <c r="N39" s="6" t="n"/>
      <c r="O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8" t="n"/>
      <c r="M40" s="7" t="n"/>
      <c r="N40" s="6" t="n"/>
      <c r="O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7" t="n"/>
      <c r="K41" s="7" t="n"/>
      <c r="L41" s="8" t="n"/>
      <c r="M41" s="7" t="n"/>
      <c r="N41" s="6" t="n"/>
      <c r="O41" s="6" t="n"/>
    </row>
  </sheetData>
  <dataValidations count="5">
    <dataValidation sqref="H2:H41" showDropDown="0" showInputMessage="0" showErrorMessage="1" allowBlank="1" errorTitle="Välj i listan" error="Strukturerad, Blandad eller Ostrukturerad" type="list">
      <formula1>"Strukturerad,Blandad,Ostrukturerad"</formula1>
    </dataValidation>
    <dataValidation sqref="I2:I41" showDropDown="0" showInputMessage="0" showErrorMessage="1" allowBlank="1" errorTitle="Välj i listan" error="Ja, Nej eller Vet ej" type="list">
      <formula1>"Ja,Nej,Vet ej"</formula1>
    </dataValidation>
    <dataValidation sqref="N2:N41" showDropDown="0" showInputMessage="0" showErrorMessage="1" allowBlank="1" errorTitle="Välj i listan" error="Ja eller Nej" type="list">
      <formula1>"Ja,Nej"</formula1>
    </dataValidation>
    <dataValidation sqref="M2:M41" showDropDown="0" showInputMessage="0" showErrorMessage="1" allowBlank="1" errorTitle="1–5" error="Regelstabilitet anges 1–5" type="whole" operator="between">
      <formula1>1</formula1>
      <formula2>5</formula2>
    </dataValidation>
    <dataValidation sqref="L2:L41" showDropDown="0" showInputMessage="0" showErrorMessage="1" allowBlank="1" errorTitle="Procent" error="Skriv som procent, t.ex. 10 %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16" customWidth="1" min="10" max="10"/>
    <col width="9" customWidth="1" min="11" max="11"/>
    <col width="34" customWidth="1" min="12" max="12"/>
    <col width="34" customWidth="1" min="14" max="14"/>
    <col width="10" customWidth="1" min="15" max="15"/>
  </cols>
  <sheetData>
    <row r="1" ht="42" customHeight="1">
      <c r="A1" s="5" t="inlineStr">
        <is>
          <t>Process</t>
        </is>
      </c>
      <c r="B1" s="5" t="inlineStr">
        <is>
          <t>Volym per vecka</t>
        </is>
      </c>
      <c r="C1" s="5" t="inlineStr">
        <is>
          <t>Tid per ärende (min)</t>
        </is>
      </c>
      <c r="D1" s="5" t="inlineStr">
        <is>
          <t>Timmar per vecka</t>
        </is>
      </c>
      <c r="E1" s="5" t="inlineStr">
        <is>
          <t>Undantagsandel</t>
        </is>
      </c>
      <c r="F1" s="5" t="inlineStr">
        <is>
          <t>Regelstabilitet (1–5)</t>
        </is>
      </c>
      <c r="G1" s="5" t="inlineStr">
        <is>
          <t>API eller integration finns?</t>
        </is>
      </c>
      <c r="H1" s="5" t="inlineStr">
        <is>
          <t>Kandidatpoäng</t>
        </is>
      </c>
      <c r="I1" s="5" t="inlineStr">
        <is>
          <t>Föreslagen lösning (tumregel)</t>
        </is>
      </c>
      <c r="J1" s="5" t="inlineStr">
        <is>
          <t>Ert beslut</t>
        </is>
      </c>
      <c r="K1" s="5" t="inlineStr">
        <is>
          <t>Prioritet</t>
        </is>
      </c>
      <c r="L1" s="5" t="inlineStr">
        <is>
          <t>Nästa steg / ansvarig</t>
        </is>
      </c>
      <c r="N1" s="9" t="inlineStr">
        <is>
          <t>Antaganden (ändra vid behov)</t>
        </is>
      </c>
    </row>
    <row r="2">
      <c r="A2" s="6" t="inlineStr">
        <is>
          <t>Onboarding av ny medarbetare</t>
        </is>
      </c>
      <c r="B2" s="6" t="n">
        <v>2</v>
      </c>
      <c r="C2" s="6" t="n">
        <v>45</v>
      </c>
      <c r="D2" s="10">
        <f>IF(OR(B2="",C2=""),"",B2*C2/60)</f>
        <v/>
      </c>
      <c r="E2" s="8" t="n">
        <v>0.1</v>
      </c>
      <c r="F2" s="6" t="n">
        <v>4</v>
      </c>
      <c r="G2" s="6" t="inlineStr">
        <is>
          <t>Ja</t>
        </is>
      </c>
      <c r="H2" s="10">
        <f>IF(OR(D2="",E2="",F2=""),"",D2*(1-E2)*F2/5)</f>
        <v/>
      </c>
      <c r="I2" s="11">
        <f>IF(OR(D2="",E2="",F2=""),"",IF(D2&lt;$O$2,"Lämna som det är",IF(OR(E2&gt;=$O$3,F2&lt;=$O$4),"AI-agent",IF(G2="Ja","Integration","RPA"))))</f>
        <v/>
      </c>
      <c r="J2" s="6" t="n"/>
      <c r="K2" s="12">
        <f>IF(H2="","",RANK(H2,$H$2:$H$41,0))</f>
        <v/>
      </c>
      <c r="L2" s="6" t="n"/>
      <c r="N2" s="3" t="inlineStr">
        <is>
          <t>Minsta timmar per vecka för att vara värd att automatisera</t>
        </is>
      </c>
      <c r="O2" s="13" t="n">
        <v>1</v>
      </c>
    </row>
    <row r="3">
      <c r="A3" s="6" t="inlineStr">
        <is>
          <t>Svara på återkommande interna frågor</t>
        </is>
      </c>
      <c r="B3" s="6" t="n">
        <v>40</v>
      </c>
      <c r="C3" s="6" t="n">
        <v>8</v>
      </c>
      <c r="D3" s="10">
        <f>IF(OR(B3="",C3=""),"",B3*C3/60)</f>
        <v/>
      </c>
      <c r="E3" s="8" t="n">
        <v>0.4</v>
      </c>
      <c r="F3" s="6" t="n">
        <v>2</v>
      </c>
      <c r="G3" s="6" t="inlineStr">
        <is>
          <t>Nej</t>
        </is>
      </c>
      <c r="H3" s="10">
        <f>IF(OR(D3="",E3="",F3=""),"",D3*(1-E3)*F3/5)</f>
        <v/>
      </c>
      <c r="I3" s="11">
        <f>IF(OR(D3="",E3="",F3=""),"",IF(D3&lt;$O$2,"Lämna som det är",IF(OR(E3&gt;=$O$3,F3&lt;=$O$4),"AI-agent",IF(G3="Ja","Integration","RPA"))))</f>
        <v/>
      </c>
      <c r="J3" s="6" t="n"/>
      <c r="K3" s="12">
        <f>IF(H3="","",RANK(H3,$H$2:$H$41,0))</f>
        <v/>
      </c>
      <c r="L3" s="6" t="n"/>
      <c r="N3" s="3" t="inlineStr">
        <is>
          <t>Undantagsandel från vilken AI-agent föreslås</t>
        </is>
      </c>
      <c r="O3" s="14" t="n">
        <v>0.2</v>
      </c>
    </row>
    <row r="4">
      <c r="A4" s="6" t="inlineStr">
        <is>
          <t>Veckorapport till ledningen</t>
        </is>
      </c>
      <c r="B4" s="6" t="n">
        <v>1</v>
      </c>
      <c r="C4" s="6" t="n">
        <v>90</v>
      </c>
      <c r="D4" s="10">
        <f>IF(OR(B4="",C4=""),"",B4*C4/60)</f>
        <v/>
      </c>
      <c r="E4" s="8" t="n">
        <v>0.05</v>
      </c>
      <c r="F4" s="6" t="n">
        <v>5</v>
      </c>
      <c r="G4" s="6" t="inlineStr">
        <is>
          <t>Nej</t>
        </is>
      </c>
      <c r="H4" s="10">
        <f>IF(OR(D4="",E4="",F4=""),"",D4*(1-E4)*F4/5)</f>
        <v/>
      </c>
      <c r="I4" s="11">
        <f>IF(OR(D4="",E4="",F4=""),"",IF(D4&lt;$O$2,"Lämna som det är",IF(OR(E4&gt;=$O$3,F4&lt;=$O$4),"AI-agent",IF(G4="Ja","Integration","RPA"))))</f>
        <v/>
      </c>
      <c r="J4" s="6" t="n"/>
      <c r="K4" s="12">
        <f>IF(H4="","",RANK(H4,$H$2:$H$41,0))</f>
        <v/>
      </c>
      <c r="L4" s="6" t="n"/>
      <c r="N4" s="3" t="inlineStr">
        <is>
          <t>Regelstabilitet till och med vilken AI-agent föreslås</t>
        </is>
      </c>
      <c r="O4" s="13" t="n">
        <v>2</v>
      </c>
    </row>
    <row r="5" ht="40" customHeight="1">
      <c r="A5" s="6" t="n"/>
      <c r="B5" s="6" t="n"/>
      <c r="C5" s="6" t="n"/>
      <c r="D5" s="10">
        <f>IF(OR(B5="",C5=""),"",B5*C5/60)</f>
        <v/>
      </c>
      <c r="E5" s="8" t="n"/>
      <c r="F5" s="6" t="n"/>
      <c r="G5" s="6" t="n"/>
      <c r="H5" s="10">
        <f>IF(OR(D5="",E5="",F5=""),"",D5*(1-E5)*F5/5)</f>
        <v/>
      </c>
      <c r="I5" s="11">
        <f>IF(OR(D5="",E5="",F5=""),"",IF(D5&lt;$O$2,"Lämna som det är",IF(OR(E5&gt;=$O$3,F5&lt;=$O$4),"AI-agent",IF(G5="Ja","Integration","RPA"))))</f>
        <v/>
      </c>
      <c r="J5" s="6" t="n"/>
      <c r="K5" s="12">
        <f>IF(H5="","",RANK(H5,$H$2:$H$41,0))</f>
        <v/>
      </c>
      <c r="L5" s="6" t="n"/>
      <c r="N5" s="2" t="inlineStr">
        <is>
          <t>Tumregeln är AI Partners utgångspunkt ur egna kartläggningar, inte en branschstandard. Ändra trösklarna efter er verksamhet.</t>
        </is>
      </c>
    </row>
    <row r="6">
      <c r="A6" s="6" t="n"/>
      <c r="B6" s="6" t="n"/>
      <c r="C6" s="6" t="n"/>
      <c r="D6" s="10">
        <f>IF(OR(B6="",C6=""),"",B6*C6/60)</f>
        <v/>
      </c>
      <c r="E6" s="8" t="n"/>
      <c r="F6" s="6" t="n"/>
      <c r="G6" s="6" t="n"/>
      <c r="H6" s="10">
        <f>IF(OR(D6="",E6="",F6=""),"",D6*(1-E6)*F6/5)</f>
        <v/>
      </c>
      <c r="I6" s="11">
        <f>IF(OR(D6="",E6="",F6=""),"",IF(D6&lt;$O$2,"Lämna som det är",IF(OR(E6&gt;=$O$3,F6&lt;=$O$4),"AI-agent",IF(G6="Ja","Integration","RPA"))))</f>
        <v/>
      </c>
      <c r="J6" s="6" t="n"/>
      <c r="K6" s="12">
        <f>IF(H6="","",RANK(H6,$H$2:$H$41,0))</f>
        <v/>
      </c>
      <c r="L6" s="6" t="n"/>
    </row>
    <row r="7">
      <c r="A7" s="6" t="n"/>
      <c r="B7" s="6" t="n"/>
      <c r="C7" s="6" t="n"/>
      <c r="D7" s="10">
        <f>IF(OR(B7="",C7=""),"",B7*C7/60)</f>
        <v/>
      </c>
      <c r="E7" s="8" t="n"/>
      <c r="F7" s="6" t="n"/>
      <c r="G7" s="6" t="n"/>
      <c r="H7" s="10">
        <f>IF(OR(D7="",E7="",F7=""),"",D7*(1-E7)*F7/5)</f>
        <v/>
      </c>
      <c r="I7" s="11">
        <f>IF(OR(D7="",E7="",F7=""),"",IF(D7&lt;$O$2,"Lämna som det är",IF(OR(E7&gt;=$O$3,F7&lt;=$O$4),"AI-agent",IF(G7="Ja","Integration","RPA"))))</f>
        <v/>
      </c>
      <c r="J7" s="6" t="n"/>
      <c r="K7" s="12">
        <f>IF(H7="","",RANK(H7,$H$2:$H$41,0))</f>
        <v/>
      </c>
      <c r="L7" s="6" t="n"/>
    </row>
    <row r="8">
      <c r="A8" s="6" t="n"/>
      <c r="B8" s="6" t="n"/>
      <c r="C8" s="6" t="n"/>
      <c r="D8" s="10">
        <f>IF(OR(B8="",C8=""),"",B8*C8/60)</f>
        <v/>
      </c>
      <c r="E8" s="8" t="n"/>
      <c r="F8" s="6" t="n"/>
      <c r="G8" s="6" t="n"/>
      <c r="H8" s="10">
        <f>IF(OR(D8="",E8="",F8=""),"",D8*(1-E8)*F8/5)</f>
        <v/>
      </c>
      <c r="I8" s="11">
        <f>IF(OR(D8="",E8="",F8=""),"",IF(D8&lt;$O$2,"Lämna som det är",IF(OR(E8&gt;=$O$3,F8&lt;=$O$4),"AI-agent",IF(G8="Ja","Integration","RPA"))))</f>
        <v/>
      </c>
      <c r="J8" s="6" t="n"/>
      <c r="K8" s="12">
        <f>IF(H8="","",RANK(H8,$H$2:$H$41,0))</f>
        <v/>
      </c>
      <c r="L8" s="6" t="n"/>
    </row>
    <row r="9">
      <c r="A9" s="6" t="n"/>
      <c r="B9" s="6" t="n"/>
      <c r="C9" s="6" t="n"/>
      <c r="D9" s="10">
        <f>IF(OR(B9="",C9=""),"",B9*C9/60)</f>
        <v/>
      </c>
      <c r="E9" s="8" t="n"/>
      <c r="F9" s="6" t="n"/>
      <c r="G9" s="6" t="n"/>
      <c r="H9" s="10">
        <f>IF(OR(D9="",E9="",F9=""),"",D9*(1-E9)*F9/5)</f>
        <v/>
      </c>
      <c r="I9" s="11">
        <f>IF(OR(D9="",E9="",F9=""),"",IF(D9&lt;$O$2,"Lämna som det är",IF(OR(E9&gt;=$O$3,F9&lt;=$O$4),"AI-agent",IF(G9="Ja","Integration","RPA"))))</f>
        <v/>
      </c>
      <c r="J9" s="6" t="n"/>
      <c r="K9" s="12">
        <f>IF(H9="","",RANK(H9,$H$2:$H$41,0))</f>
        <v/>
      </c>
      <c r="L9" s="6" t="n"/>
    </row>
    <row r="10">
      <c r="A10" s="6" t="n"/>
      <c r="B10" s="6" t="n"/>
      <c r="C10" s="6" t="n"/>
      <c r="D10" s="10">
        <f>IF(OR(B10="",C10=""),"",B10*C10/60)</f>
        <v/>
      </c>
      <c r="E10" s="8" t="n"/>
      <c r="F10" s="6" t="n"/>
      <c r="G10" s="6" t="n"/>
      <c r="H10" s="10">
        <f>IF(OR(D10="",E10="",F10=""),"",D10*(1-E10)*F10/5)</f>
        <v/>
      </c>
      <c r="I10" s="11">
        <f>IF(OR(D10="",E10="",F10=""),"",IF(D10&lt;$O$2,"Lämna som det är",IF(OR(E10&gt;=$O$3,F10&lt;=$O$4),"AI-agent",IF(G10="Ja","Integration","RPA"))))</f>
        <v/>
      </c>
      <c r="J10" s="6" t="n"/>
      <c r="K10" s="12">
        <f>IF(H10="","",RANK(H10,$H$2:$H$41,0))</f>
        <v/>
      </c>
      <c r="L10" s="6" t="n"/>
    </row>
    <row r="11">
      <c r="A11" s="6" t="n"/>
      <c r="B11" s="6" t="n"/>
      <c r="C11" s="6" t="n"/>
      <c r="D11" s="10">
        <f>IF(OR(B11="",C11=""),"",B11*C11/60)</f>
        <v/>
      </c>
      <c r="E11" s="8" t="n"/>
      <c r="F11" s="6" t="n"/>
      <c r="G11" s="6" t="n"/>
      <c r="H11" s="10">
        <f>IF(OR(D11="",E11="",F11=""),"",D11*(1-E11)*F11/5)</f>
        <v/>
      </c>
      <c r="I11" s="11">
        <f>IF(OR(D11="",E11="",F11=""),"",IF(D11&lt;$O$2,"Lämna som det är",IF(OR(E11&gt;=$O$3,F11&lt;=$O$4),"AI-agent",IF(G11="Ja","Integration","RPA"))))</f>
        <v/>
      </c>
      <c r="J11" s="6" t="n"/>
      <c r="K11" s="12">
        <f>IF(H11="","",RANK(H11,$H$2:$H$41,0))</f>
        <v/>
      </c>
      <c r="L11" s="6" t="n"/>
    </row>
    <row r="12">
      <c r="A12" s="6" t="n"/>
      <c r="B12" s="6" t="n"/>
      <c r="C12" s="6" t="n"/>
      <c r="D12" s="10">
        <f>IF(OR(B12="",C12=""),"",B12*C12/60)</f>
        <v/>
      </c>
      <c r="E12" s="8" t="n"/>
      <c r="F12" s="6" t="n"/>
      <c r="G12" s="6" t="n"/>
      <c r="H12" s="10">
        <f>IF(OR(D12="",E12="",F12=""),"",D12*(1-E12)*F12/5)</f>
        <v/>
      </c>
      <c r="I12" s="11">
        <f>IF(OR(D12="",E12="",F12=""),"",IF(D12&lt;$O$2,"Lämna som det är",IF(OR(E12&gt;=$O$3,F12&lt;=$O$4),"AI-agent",IF(G12="Ja","Integration","RPA"))))</f>
        <v/>
      </c>
      <c r="J12" s="6" t="n"/>
      <c r="K12" s="12">
        <f>IF(H12="","",RANK(H12,$H$2:$H$41,0))</f>
        <v/>
      </c>
      <c r="L12" s="6" t="n"/>
    </row>
    <row r="13">
      <c r="A13" s="6" t="n"/>
      <c r="B13" s="6" t="n"/>
      <c r="C13" s="6" t="n"/>
      <c r="D13" s="10">
        <f>IF(OR(B13="",C13=""),"",B13*C13/60)</f>
        <v/>
      </c>
      <c r="E13" s="8" t="n"/>
      <c r="F13" s="6" t="n"/>
      <c r="G13" s="6" t="n"/>
      <c r="H13" s="10">
        <f>IF(OR(D13="",E13="",F13=""),"",D13*(1-E13)*F13/5)</f>
        <v/>
      </c>
      <c r="I13" s="11">
        <f>IF(OR(D13="",E13="",F13=""),"",IF(D13&lt;$O$2,"Lämna som det är",IF(OR(E13&gt;=$O$3,F13&lt;=$O$4),"AI-agent",IF(G13="Ja","Integration","RPA"))))</f>
        <v/>
      </c>
      <c r="J13" s="6" t="n"/>
      <c r="K13" s="12">
        <f>IF(H13="","",RANK(H13,$H$2:$H$41,0))</f>
        <v/>
      </c>
      <c r="L13" s="6" t="n"/>
    </row>
    <row r="14">
      <c r="A14" s="6" t="n"/>
      <c r="B14" s="6" t="n"/>
      <c r="C14" s="6" t="n"/>
      <c r="D14" s="10">
        <f>IF(OR(B14="",C14=""),"",B14*C14/60)</f>
        <v/>
      </c>
      <c r="E14" s="8" t="n"/>
      <c r="F14" s="6" t="n"/>
      <c r="G14" s="6" t="n"/>
      <c r="H14" s="10">
        <f>IF(OR(D14="",E14="",F14=""),"",D14*(1-E14)*F14/5)</f>
        <v/>
      </c>
      <c r="I14" s="11">
        <f>IF(OR(D14="",E14="",F14=""),"",IF(D14&lt;$O$2,"Lämna som det är",IF(OR(E14&gt;=$O$3,F14&lt;=$O$4),"AI-agent",IF(G14="Ja","Integration","RPA"))))</f>
        <v/>
      </c>
      <c r="J14" s="6" t="n"/>
      <c r="K14" s="12">
        <f>IF(H14="","",RANK(H14,$H$2:$H$41,0))</f>
        <v/>
      </c>
      <c r="L14" s="6" t="n"/>
    </row>
    <row r="15">
      <c r="A15" s="6" t="n"/>
      <c r="B15" s="6" t="n"/>
      <c r="C15" s="6" t="n"/>
      <c r="D15" s="10">
        <f>IF(OR(B15="",C15=""),"",B15*C15/60)</f>
        <v/>
      </c>
      <c r="E15" s="8" t="n"/>
      <c r="F15" s="6" t="n"/>
      <c r="G15" s="6" t="n"/>
      <c r="H15" s="10">
        <f>IF(OR(D15="",E15="",F15=""),"",D15*(1-E15)*F15/5)</f>
        <v/>
      </c>
      <c r="I15" s="11">
        <f>IF(OR(D15="",E15="",F15=""),"",IF(D15&lt;$O$2,"Lämna som det är",IF(OR(E15&gt;=$O$3,F15&lt;=$O$4),"AI-agent",IF(G15="Ja","Integration","RPA"))))</f>
        <v/>
      </c>
      <c r="J15" s="6" t="n"/>
      <c r="K15" s="12">
        <f>IF(H15="","",RANK(H15,$H$2:$H$41,0))</f>
        <v/>
      </c>
      <c r="L15" s="6" t="n"/>
    </row>
    <row r="16">
      <c r="A16" s="6" t="n"/>
      <c r="B16" s="6" t="n"/>
      <c r="C16" s="6" t="n"/>
      <c r="D16" s="10">
        <f>IF(OR(B16="",C16=""),"",B16*C16/60)</f>
        <v/>
      </c>
      <c r="E16" s="8" t="n"/>
      <c r="F16" s="6" t="n"/>
      <c r="G16" s="6" t="n"/>
      <c r="H16" s="10">
        <f>IF(OR(D16="",E16="",F16=""),"",D16*(1-E16)*F16/5)</f>
        <v/>
      </c>
      <c r="I16" s="11">
        <f>IF(OR(D16="",E16="",F16=""),"",IF(D16&lt;$O$2,"Lämna som det är",IF(OR(E16&gt;=$O$3,F16&lt;=$O$4),"AI-agent",IF(G16="Ja","Integration","RPA"))))</f>
        <v/>
      </c>
      <c r="J16" s="6" t="n"/>
      <c r="K16" s="12">
        <f>IF(H16="","",RANK(H16,$H$2:$H$41,0))</f>
        <v/>
      </c>
      <c r="L16" s="6" t="n"/>
    </row>
    <row r="17">
      <c r="A17" s="6" t="n"/>
      <c r="B17" s="6" t="n"/>
      <c r="C17" s="6" t="n"/>
      <c r="D17" s="10">
        <f>IF(OR(B17="",C17=""),"",B17*C17/60)</f>
        <v/>
      </c>
      <c r="E17" s="8" t="n"/>
      <c r="F17" s="6" t="n"/>
      <c r="G17" s="6" t="n"/>
      <c r="H17" s="10">
        <f>IF(OR(D17="",E17="",F17=""),"",D17*(1-E17)*F17/5)</f>
        <v/>
      </c>
      <c r="I17" s="11">
        <f>IF(OR(D17="",E17="",F17=""),"",IF(D17&lt;$O$2,"Lämna som det är",IF(OR(E17&gt;=$O$3,F17&lt;=$O$4),"AI-agent",IF(G17="Ja","Integration","RPA"))))</f>
        <v/>
      </c>
      <c r="J17" s="6" t="n"/>
      <c r="K17" s="12">
        <f>IF(H17="","",RANK(H17,$H$2:$H$41,0))</f>
        <v/>
      </c>
      <c r="L17" s="6" t="n"/>
    </row>
    <row r="18">
      <c r="A18" s="6" t="n"/>
      <c r="B18" s="6" t="n"/>
      <c r="C18" s="6" t="n"/>
      <c r="D18" s="10">
        <f>IF(OR(B18="",C18=""),"",B18*C18/60)</f>
        <v/>
      </c>
      <c r="E18" s="8" t="n"/>
      <c r="F18" s="6" t="n"/>
      <c r="G18" s="6" t="n"/>
      <c r="H18" s="10">
        <f>IF(OR(D18="",E18="",F18=""),"",D18*(1-E18)*F18/5)</f>
        <v/>
      </c>
      <c r="I18" s="11">
        <f>IF(OR(D18="",E18="",F18=""),"",IF(D18&lt;$O$2,"Lämna som det är",IF(OR(E18&gt;=$O$3,F18&lt;=$O$4),"AI-agent",IF(G18="Ja","Integration","RPA"))))</f>
        <v/>
      </c>
      <c r="J18" s="6" t="n"/>
      <c r="K18" s="12">
        <f>IF(H18="","",RANK(H18,$H$2:$H$41,0))</f>
        <v/>
      </c>
      <c r="L18" s="6" t="n"/>
    </row>
    <row r="19">
      <c r="A19" s="6" t="n"/>
      <c r="B19" s="6" t="n"/>
      <c r="C19" s="6" t="n"/>
      <c r="D19" s="10">
        <f>IF(OR(B19="",C19=""),"",B19*C19/60)</f>
        <v/>
      </c>
      <c r="E19" s="8" t="n"/>
      <c r="F19" s="6" t="n"/>
      <c r="G19" s="6" t="n"/>
      <c r="H19" s="10">
        <f>IF(OR(D19="",E19="",F19=""),"",D19*(1-E19)*F19/5)</f>
        <v/>
      </c>
      <c r="I19" s="11">
        <f>IF(OR(D19="",E19="",F19=""),"",IF(D19&lt;$O$2,"Lämna som det är",IF(OR(E19&gt;=$O$3,F19&lt;=$O$4),"AI-agent",IF(G19="Ja","Integration","RPA"))))</f>
        <v/>
      </c>
      <c r="J19" s="6" t="n"/>
      <c r="K19" s="12">
        <f>IF(H19="","",RANK(H19,$H$2:$H$41,0))</f>
        <v/>
      </c>
      <c r="L19" s="6" t="n"/>
    </row>
    <row r="20">
      <c r="A20" s="6" t="n"/>
      <c r="B20" s="6" t="n"/>
      <c r="C20" s="6" t="n"/>
      <c r="D20" s="10">
        <f>IF(OR(B20="",C20=""),"",B20*C20/60)</f>
        <v/>
      </c>
      <c r="E20" s="8" t="n"/>
      <c r="F20" s="6" t="n"/>
      <c r="G20" s="6" t="n"/>
      <c r="H20" s="10">
        <f>IF(OR(D20="",E20="",F20=""),"",D20*(1-E20)*F20/5)</f>
        <v/>
      </c>
      <c r="I20" s="11">
        <f>IF(OR(D20="",E20="",F20=""),"",IF(D20&lt;$O$2,"Lämna som det är",IF(OR(E20&gt;=$O$3,F20&lt;=$O$4),"AI-agent",IF(G20="Ja","Integration","RPA"))))</f>
        <v/>
      </c>
      <c r="J20" s="6" t="n"/>
      <c r="K20" s="12">
        <f>IF(H20="","",RANK(H20,$H$2:$H$41,0))</f>
        <v/>
      </c>
      <c r="L20" s="6" t="n"/>
    </row>
    <row r="21">
      <c r="A21" s="6" t="n"/>
      <c r="B21" s="6" t="n"/>
      <c r="C21" s="6" t="n"/>
      <c r="D21" s="10">
        <f>IF(OR(B21="",C21=""),"",B21*C21/60)</f>
        <v/>
      </c>
      <c r="E21" s="8" t="n"/>
      <c r="F21" s="6" t="n"/>
      <c r="G21" s="6" t="n"/>
      <c r="H21" s="10">
        <f>IF(OR(D21="",E21="",F21=""),"",D21*(1-E21)*F21/5)</f>
        <v/>
      </c>
      <c r="I21" s="11">
        <f>IF(OR(D21="",E21="",F21=""),"",IF(D21&lt;$O$2,"Lämna som det är",IF(OR(E21&gt;=$O$3,F21&lt;=$O$4),"AI-agent",IF(G21="Ja","Integration","RPA"))))</f>
        <v/>
      </c>
      <c r="J21" s="6" t="n"/>
      <c r="K21" s="12">
        <f>IF(H21="","",RANK(H21,$H$2:$H$41,0))</f>
        <v/>
      </c>
      <c r="L21" s="6" t="n"/>
    </row>
    <row r="22">
      <c r="A22" s="6" t="n"/>
      <c r="B22" s="6" t="n"/>
      <c r="C22" s="6" t="n"/>
      <c r="D22" s="10">
        <f>IF(OR(B22="",C22=""),"",B22*C22/60)</f>
        <v/>
      </c>
      <c r="E22" s="8" t="n"/>
      <c r="F22" s="6" t="n"/>
      <c r="G22" s="6" t="n"/>
      <c r="H22" s="10">
        <f>IF(OR(D22="",E22="",F22=""),"",D22*(1-E22)*F22/5)</f>
        <v/>
      </c>
      <c r="I22" s="11">
        <f>IF(OR(D22="",E22="",F22=""),"",IF(D22&lt;$O$2,"Lämna som det är",IF(OR(E22&gt;=$O$3,F22&lt;=$O$4),"AI-agent",IF(G22="Ja","Integration","RPA"))))</f>
        <v/>
      </c>
      <c r="J22" s="6" t="n"/>
      <c r="K22" s="12">
        <f>IF(H22="","",RANK(H22,$H$2:$H$41,0))</f>
        <v/>
      </c>
      <c r="L22" s="6" t="n"/>
    </row>
    <row r="23">
      <c r="A23" s="6" t="n"/>
      <c r="B23" s="6" t="n"/>
      <c r="C23" s="6" t="n"/>
      <c r="D23" s="10">
        <f>IF(OR(B23="",C23=""),"",B23*C23/60)</f>
        <v/>
      </c>
      <c r="E23" s="8" t="n"/>
      <c r="F23" s="6" t="n"/>
      <c r="G23" s="6" t="n"/>
      <c r="H23" s="10">
        <f>IF(OR(D23="",E23="",F23=""),"",D23*(1-E23)*F23/5)</f>
        <v/>
      </c>
      <c r="I23" s="11">
        <f>IF(OR(D23="",E23="",F23=""),"",IF(D23&lt;$O$2,"Lämna som det är",IF(OR(E23&gt;=$O$3,F23&lt;=$O$4),"AI-agent",IF(G23="Ja","Integration","RPA"))))</f>
        <v/>
      </c>
      <c r="J23" s="6" t="n"/>
      <c r="K23" s="12">
        <f>IF(H23="","",RANK(H23,$H$2:$H$41,0))</f>
        <v/>
      </c>
      <c r="L23" s="6" t="n"/>
    </row>
    <row r="24">
      <c r="A24" s="6" t="n"/>
      <c r="B24" s="6" t="n"/>
      <c r="C24" s="6" t="n"/>
      <c r="D24" s="10">
        <f>IF(OR(B24="",C24=""),"",B24*C24/60)</f>
        <v/>
      </c>
      <c r="E24" s="8" t="n"/>
      <c r="F24" s="6" t="n"/>
      <c r="G24" s="6" t="n"/>
      <c r="H24" s="10">
        <f>IF(OR(D24="",E24="",F24=""),"",D24*(1-E24)*F24/5)</f>
        <v/>
      </c>
      <c r="I24" s="11">
        <f>IF(OR(D24="",E24="",F24=""),"",IF(D24&lt;$O$2,"Lämna som det är",IF(OR(E24&gt;=$O$3,F24&lt;=$O$4),"AI-agent",IF(G24="Ja","Integration","RPA"))))</f>
        <v/>
      </c>
      <c r="J24" s="6" t="n"/>
      <c r="K24" s="12">
        <f>IF(H24="","",RANK(H24,$H$2:$H$41,0))</f>
        <v/>
      </c>
      <c r="L24" s="6" t="n"/>
    </row>
    <row r="25">
      <c r="A25" s="6" t="n"/>
      <c r="B25" s="6" t="n"/>
      <c r="C25" s="6" t="n"/>
      <c r="D25" s="10">
        <f>IF(OR(B25="",C25=""),"",B25*C25/60)</f>
        <v/>
      </c>
      <c r="E25" s="8" t="n"/>
      <c r="F25" s="6" t="n"/>
      <c r="G25" s="6" t="n"/>
      <c r="H25" s="10">
        <f>IF(OR(D25="",E25="",F25=""),"",D25*(1-E25)*F25/5)</f>
        <v/>
      </c>
      <c r="I25" s="11">
        <f>IF(OR(D25="",E25="",F25=""),"",IF(D25&lt;$O$2,"Lämna som det är",IF(OR(E25&gt;=$O$3,F25&lt;=$O$4),"AI-agent",IF(G25="Ja","Integration","RPA"))))</f>
        <v/>
      </c>
      <c r="J25" s="6" t="n"/>
      <c r="K25" s="12">
        <f>IF(H25="","",RANK(H25,$H$2:$H$41,0))</f>
        <v/>
      </c>
      <c r="L25" s="6" t="n"/>
    </row>
    <row r="26">
      <c r="A26" s="6" t="n"/>
      <c r="B26" s="6" t="n"/>
      <c r="C26" s="6" t="n"/>
      <c r="D26" s="10">
        <f>IF(OR(B26="",C26=""),"",B26*C26/60)</f>
        <v/>
      </c>
      <c r="E26" s="8" t="n"/>
      <c r="F26" s="6" t="n"/>
      <c r="G26" s="6" t="n"/>
      <c r="H26" s="10">
        <f>IF(OR(D26="",E26="",F26=""),"",D26*(1-E26)*F26/5)</f>
        <v/>
      </c>
      <c r="I26" s="11">
        <f>IF(OR(D26="",E26="",F26=""),"",IF(D26&lt;$O$2,"Lämna som det är",IF(OR(E26&gt;=$O$3,F26&lt;=$O$4),"AI-agent",IF(G26="Ja","Integration","RPA"))))</f>
        <v/>
      </c>
      <c r="J26" s="6" t="n"/>
      <c r="K26" s="12">
        <f>IF(H26="","",RANK(H26,$H$2:$H$41,0))</f>
        <v/>
      </c>
      <c r="L26" s="6" t="n"/>
    </row>
    <row r="27">
      <c r="A27" s="6" t="n"/>
      <c r="B27" s="6" t="n"/>
      <c r="C27" s="6" t="n"/>
      <c r="D27" s="10">
        <f>IF(OR(B27="",C27=""),"",B27*C27/60)</f>
        <v/>
      </c>
      <c r="E27" s="8" t="n"/>
      <c r="F27" s="6" t="n"/>
      <c r="G27" s="6" t="n"/>
      <c r="H27" s="10">
        <f>IF(OR(D27="",E27="",F27=""),"",D27*(1-E27)*F27/5)</f>
        <v/>
      </c>
      <c r="I27" s="11">
        <f>IF(OR(D27="",E27="",F27=""),"",IF(D27&lt;$O$2,"Lämna som det är",IF(OR(E27&gt;=$O$3,F27&lt;=$O$4),"AI-agent",IF(G27="Ja","Integration","RPA"))))</f>
        <v/>
      </c>
      <c r="J27" s="6" t="n"/>
      <c r="K27" s="12">
        <f>IF(H27="","",RANK(H27,$H$2:$H$41,0))</f>
        <v/>
      </c>
      <c r="L27" s="6" t="n"/>
    </row>
    <row r="28">
      <c r="A28" s="6" t="n"/>
      <c r="B28" s="6" t="n"/>
      <c r="C28" s="6" t="n"/>
      <c r="D28" s="10">
        <f>IF(OR(B28="",C28=""),"",B28*C28/60)</f>
        <v/>
      </c>
      <c r="E28" s="8" t="n"/>
      <c r="F28" s="6" t="n"/>
      <c r="G28" s="6" t="n"/>
      <c r="H28" s="10">
        <f>IF(OR(D28="",E28="",F28=""),"",D28*(1-E28)*F28/5)</f>
        <v/>
      </c>
      <c r="I28" s="11">
        <f>IF(OR(D28="",E28="",F28=""),"",IF(D28&lt;$O$2,"Lämna som det är",IF(OR(E28&gt;=$O$3,F28&lt;=$O$4),"AI-agent",IF(G28="Ja","Integration","RPA"))))</f>
        <v/>
      </c>
      <c r="J28" s="6" t="n"/>
      <c r="K28" s="12">
        <f>IF(H28="","",RANK(H28,$H$2:$H$41,0))</f>
        <v/>
      </c>
      <c r="L28" s="6" t="n"/>
    </row>
    <row r="29">
      <c r="A29" s="6" t="n"/>
      <c r="B29" s="6" t="n"/>
      <c r="C29" s="6" t="n"/>
      <c r="D29" s="10">
        <f>IF(OR(B29="",C29=""),"",B29*C29/60)</f>
        <v/>
      </c>
      <c r="E29" s="8" t="n"/>
      <c r="F29" s="6" t="n"/>
      <c r="G29" s="6" t="n"/>
      <c r="H29" s="10">
        <f>IF(OR(D29="",E29="",F29=""),"",D29*(1-E29)*F29/5)</f>
        <v/>
      </c>
      <c r="I29" s="11">
        <f>IF(OR(D29="",E29="",F29=""),"",IF(D29&lt;$O$2,"Lämna som det är",IF(OR(E29&gt;=$O$3,F29&lt;=$O$4),"AI-agent",IF(G29="Ja","Integration","RPA"))))</f>
        <v/>
      </c>
      <c r="J29" s="6" t="n"/>
      <c r="K29" s="12">
        <f>IF(H29="","",RANK(H29,$H$2:$H$41,0))</f>
        <v/>
      </c>
      <c r="L29" s="6" t="n"/>
    </row>
    <row r="30">
      <c r="A30" s="6" t="n"/>
      <c r="B30" s="6" t="n"/>
      <c r="C30" s="6" t="n"/>
      <c r="D30" s="10">
        <f>IF(OR(B30="",C30=""),"",B30*C30/60)</f>
        <v/>
      </c>
      <c r="E30" s="8" t="n"/>
      <c r="F30" s="6" t="n"/>
      <c r="G30" s="6" t="n"/>
      <c r="H30" s="10">
        <f>IF(OR(D30="",E30="",F30=""),"",D30*(1-E30)*F30/5)</f>
        <v/>
      </c>
      <c r="I30" s="11">
        <f>IF(OR(D30="",E30="",F30=""),"",IF(D30&lt;$O$2,"Lämna som det är",IF(OR(E30&gt;=$O$3,F30&lt;=$O$4),"AI-agent",IF(G30="Ja","Integration","RPA"))))</f>
        <v/>
      </c>
      <c r="J30" s="6" t="n"/>
      <c r="K30" s="12">
        <f>IF(H30="","",RANK(H30,$H$2:$H$41,0))</f>
        <v/>
      </c>
      <c r="L30" s="6" t="n"/>
    </row>
    <row r="31">
      <c r="A31" s="6" t="n"/>
      <c r="B31" s="6" t="n"/>
      <c r="C31" s="6" t="n"/>
      <c r="D31" s="10">
        <f>IF(OR(B31="",C31=""),"",B31*C31/60)</f>
        <v/>
      </c>
      <c r="E31" s="8" t="n"/>
      <c r="F31" s="6" t="n"/>
      <c r="G31" s="6" t="n"/>
      <c r="H31" s="10">
        <f>IF(OR(D31="",E31="",F31=""),"",D31*(1-E31)*F31/5)</f>
        <v/>
      </c>
      <c r="I31" s="11">
        <f>IF(OR(D31="",E31="",F31=""),"",IF(D31&lt;$O$2,"Lämna som det är",IF(OR(E31&gt;=$O$3,F31&lt;=$O$4),"AI-agent",IF(G31="Ja","Integration","RPA"))))</f>
        <v/>
      </c>
      <c r="J31" s="6" t="n"/>
      <c r="K31" s="12">
        <f>IF(H31="","",RANK(H31,$H$2:$H$41,0))</f>
        <v/>
      </c>
      <c r="L31" s="6" t="n"/>
    </row>
    <row r="32">
      <c r="A32" s="6" t="n"/>
      <c r="B32" s="6" t="n"/>
      <c r="C32" s="6" t="n"/>
      <c r="D32" s="10">
        <f>IF(OR(B32="",C32=""),"",B32*C32/60)</f>
        <v/>
      </c>
      <c r="E32" s="8" t="n"/>
      <c r="F32" s="6" t="n"/>
      <c r="G32" s="6" t="n"/>
      <c r="H32" s="10">
        <f>IF(OR(D32="",E32="",F32=""),"",D32*(1-E32)*F32/5)</f>
        <v/>
      </c>
      <c r="I32" s="11">
        <f>IF(OR(D32="",E32="",F32=""),"",IF(D32&lt;$O$2,"Lämna som det är",IF(OR(E32&gt;=$O$3,F32&lt;=$O$4),"AI-agent",IF(G32="Ja","Integration","RPA"))))</f>
        <v/>
      </c>
      <c r="J32" s="6" t="n"/>
      <c r="K32" s="12">
        <f>IF(H32="","",RANK(H32,$H$2:$H$41,0))</f>
        <v/>
      </c>
      <c r="L32" s="6" t="n"/>
    </row>
    <row r="33">
      <c r="A33" s="6" t="n"/>
      <c r="B33" s="6" t="n"/>
      <c r="C33" s="6" t="n"/>
      <c r="D33" s="10">
        <f>IF(OR(B33="",C33=""),"",B33*C33/60)</f>
        <v/>
      </c>
      <c r="E33" s="8" t="n"/>
      <c r="F33" s="6" t="n"/>
      <c r="G33" s="6" t="n"/>
      <c r="H33" s="10">
        <f>IF(OR(D33="",E33="",F33=""),"",D33*(1-E33)*F33/5)</f>
        <v/>
      </c>
      <c r="I33" s="11">
        <f>IF(OR(D33="",E33="",F33=""),"",IF(D33&lt;$O$2,"Lämna som det är",IF(OR(E33&gt;=$O$3,F33&lt;=$O$4),"AI-agent",IF(G33="Ja","Integration","RPA"))))</f>
        <v/>
      </c>
      <c r="J33" s="6" t="n"/>
      <c r="K33" s="12">
        <f>IF(H33="","",RANK(H33,$H$2:$H$41,0))</f>
        <v/>
      </c>
      <c r="L33" s="6" t="n"/>
    </row>
    <row r="34">
      <c r="A34" s="6" t="n"/>
      <c r="B34" s="6" t="n"/>
      <c r="C34" s="6" t="n"/>
      <c r="D34" s="10">
        <f>IF(OR(B34="",C34=""),"",B34*C34/60)</f>
        <v/>
      </c>
      <c r="E34" s="8" t="n"/>
      <c r="F34" s="6" t="n"/>
      <c r="G34" s="6" t="n"/>
      <c r="H34" s="10">
        <f>IF(OR(D34="",E34="",F34=""),"",D34*(1-E34)*F34/5)</f>
        <v/>
      </c>
      <c r="I34" s="11">
        <f>IF(OR(D34="",E34="",F34=""),"",IF(D34&lt;$O$2,"Lämna som det är",IF(OR(E34&gt;=$O$3,F34&lt;=$O$4),"AI-agent",IF(G34="Ja","Integration","RPA"))))</f>
        <v/>
      </c>
      <c r="J34" s="6" t="n"/>
      <c r="K34" s="12">
        <f>IF(H34="","",RANK(H34,$H$2:$H$41,0))</f>
        <v/>
      </c>
      <c r="L34" s="6" t="n"/>
    </row>
    <row r="35">
      <c r="A35" s="6" t="n"/>
      <c r="B35" s="6" t="n"/>
      <c r="C35" s="6" t="n"/>
      <c r="D35" s="10">
        <f>IF(OR(B35="",C35=""),"",B35*C35/60)</f>
        <v/>
      </c>
      <c r="E35" s="8" t="n"/>
      <c r="F35" s="6" t="n"/>
      <c r="G35" s="6" t="n"/>
      <c r="H35" s="10">
        <f>IF(OR(D35="",E35="",F35=""),"",D35*(1-E35)*F35/5)</f>
        <v/>
      </c>
      <c r="I35" s="11">
        <f>IF(OR(D35="",E35="",F35=""),"",IF(D35&lt;$O$2,"Lämna som det är",IF(OR(E35&gt;=$O$3,F35&lt;=$O$4),"AI-agent",IF(G35="Ja","Integration","RPA"))))</f>
        <v/>
      </c>
      <c r="J35" s="6" t="n"/>
      <c r="K35" s="12">
        <f>IF(H35="","",RANK(H35,$H$2:$H$41,0))</f>
        <v/>
      </c>
      <c r="L35" s="6" t="n"/>
    </row>
    <row r="36">
      <c r="A36" s="6" t="n"/>
      <c r="B36" s="6" t="n"/>
      <c r="C36" s="6" t="n"/>
      <c r="D36" s="10">
        <f>IF(OR(B36="",C36=""),"",B36*C36/60)</f>
        <v/>
      </c>
      <c r="E36" s="8" t="n"/>
      <c r="F36" s="6" t="n"/>
      <c r="G36" s="6" t="n"/>
      <c r="H36" s="10">
        <f>IF(OR(D36="",E36="",F36=""),"",D36*(1-E36)*F36/5)</f>
        <v/>
      </c>
      <c r="I36" s="11">
        <f>IF(OR(D36="",E36="",F36=""),"",IF(D36&lt;$O$2,"Lämna som det är",IF(OR(E36&gt;=$O$3,F36&lt;=$O$4),"AI-agent",IF(G36="Ja","Integration","RPA"))))</f>
        <v/>
      </c>
      <c r="J36" s="6" t="n"/>
      <c r="K36" s="12">
        <f>IF(H36="","",RANK(H36,$H$2:$H$41,0))</f>
        <v/>
      </c>
      <c r="L36" s="6" t="n"/>
    </row>
    <row r="37">
      <c r="A37" s="6" t="n"/>
      <c r="B37" s="6" t="n"/>
      <c r="C37" s="6" t="n"/>
      <c r="D37" s="10">
        <f>IF(OR(B37="",C37=""),"",B37*C37/60)</f>
        <v/>
      </c>
      <c r="E37" s="8" t="n"/>
      <c r="F37" s="6" t="n"/>
      <c r="G37" s="6" t="n"/>
      <c r="H37" s="10">
        <f>IF(OR(D37="",E37="",F37=""),"",D37*(1-E37)*F37/5)</f>
        <v/>
      </c>
      <c r="I37" s="11">
        <f>IF(OR(D37="",E37="",F37=""),"",IF(D37&lt;$O$2,"Lämna som det är",IF(OR(E37&gt;=$O$3,F37&lt;=$O$4),"AI-agent",IF(G37="Ja","Integration","RPA"))))</f>
        <v/>
      </c>
      <c r="J37" s="6" t="n"/>
      <c r="K37" s="12">
        <f>IF(H37="","",RANK(H37,$H$2:$H$41,0))</f>
        <v/>
      </c>
      <c r="L37" s="6" t="n"/>
    </row>
    <row r="38">
      <c r="A38" s="6" t="n"/>
      <c r="B38" s="6" t="n"/>
      <c r="C38" s="6" t="n"/>
      <c r="D38" s="10">
        <f>IF(OR(B38="",C38=""),"",B38*C38/60)</f>
        <v/>
      </c>
      <c r="E38" s="8" t="n"/>
      <c r="F38" s="6" t="n"/>
      <c r="G38" s="6" t="n"/>
      <c r="H38" s="10">
        <f>IF(OR(D38="",E38="",F38=""),"",D38*(1-E38)*F38/5)</f>
        <v/>
      </c>
      <c r="I38" s="11">
        <f>IF(OR(D38="",E38="",F38=""),"",IF(D38&lt;$O$2,"Lämna som det är",IF(OR(E38&gt;=$O$3,F38&lt;=$O$4),"AI-agent",IF(G38="Ja","Integration","RPA"))))</f>
        <v/>
      </c>
      <c r="J38" s="6" t="n"/>
      <c r="K38" s="12">
        <f>IF(H38="","",RANK(H38,$H$2:$H$41,0))</f>
        <v/>
      </c>
      <c r="L38" s="6" t="n"/>
    </row>
    <row r="39">
      <c r="A39" s="6" t="n"/>
      <c r="B39" s="6" t="n"/>
      <c r="C39" s="6" t="n"/>
      <c r="D39" s="10">
        <f>IF(OR(B39="",C39=""),"",B39*C39/60)</f>
        <v/>
      </c>
      <c r="E39" s="8" t="n"/>
      <c r="F39" s="6" t="n"/>
      <c r="G39" s="6" t="n"/>
      <c r="H39" s="10">
        <f>IF(OR(D39="",E39="",F39=""),"",D39*(1-E39)*F39/5)</f>
        <v/>
      </c>
      <c r="I39" s="11">
        <f>IF(OR(D39="",E39="",F39=""),"",IF(D39&lt;$O$2,"Lämna som det är",IF(OR(E39&gt;=$O$3,F39&lt;=$O$4),"AI-agent",IF(G39="Ja","Integration","RPA"))))</f>
        <v/>
      </c>
      <c r="J39" s="6" t="n"/>
      <c r="K39" s="12">
        <f>IF(H39="","",RANK(H39,$H$2:$H$41,0))</f>
        <v/>
      </c>
      <c r="L39" s="6" t="n"/>
    </row>
    <row r="40">
      <c r="A40" s="6" t="n"/>
      <c r="B40" s="6" t="n"/>
      <c r="C40" s="6" t="n"/>
      <c r="D40" s="10">
        <f>IF(OR(B40="",C40=""),"",B40*C40/60)</f>
        <v/>
      </c>
      <c r="E40" s="8" t="n"/>
      <c r="F40" s="6" t="n"/>
      <c r="G40" s="6" t="n"/>
      <c r="H40" s="10">
        <f>IF(OR(D40="",E40="",F40=""),"",D40*(1-E40)*F40/5)</f>
        <v/>
      </c>
      <c r="I40" s="11">
        <f>IF(OR(D40="",E40="",F40=""),"",IF(D40&lt;$O$2,"Lämna som det är",IF(OR(E40&gt;=$O$3,F40&lt;=$O$4),"AI-agent",IF(G40="Ja","Integration","RPA"))))</f>
        <v/>
      </c>
      <c r="J40" s="6" t="n"/>
      <c r="K40" s="12">
        <f>IF(H40="","",RANK(H40,$H$2:$H$41,0))</f>
        <v/>
      </c>
      <c r="L40" s="6" t="n"/>
    </row>
    <row r="41">
      <c r="A41" s="6" t="n"/>
      <c r="B41" s="6" t="n"/>
      <c r="C41" s="6" t="n"/>
      <c r="D41" s="10">
        <f>IF(OR(B41="",C41=""),"",B41*C41/60)</f>
        <v/>
      </c>
      <c r="E41" s="8" t="n"/>
      <c r="F41" s="6" t="n"/>
      <c r="G41" s="6" t="n"/>
      <c r="H41" s="10">
        <f>IF(OR(D41="",E41="",F41=""),"",D41*(1-E41)*F41/5)</f>
        <v/>
      </c>
      <c r="I41" s="11">
        <f>IF(OR(D41="",E41="",F41=""),"",IF(D41&lt;$O$2,"Lämna som det är",IF(OR(E41&gt;=$O$3,F41&lt;=$O$4),"AI-agent",IF(G41="Ja","Integration","RPA"))))</f>
        <v/>
      </c>
      <c r="J41" s="6" t="n"/>
      <c r="K41" s="12">
        <f>IF(H41="","",RANK(H41,$H$2:$H$41,0))</f>
        <v/>
      </c>
      <c r="L41" s="6" t="n"/>
    </row>
  </sheetData>
  <dataValidations count="4">
    <dataValidation sqref="G2:G41" showDropDown="0" showInputMessage="0" showErrorMessage="1" allowBlank="1" errorTitle="Välj i listan" error="Ja, Nej eller Vet ej" type="list">
      <formula1>"Ja,Nej,Vet ej"</formula1>
    </dataValidation>
    <dataValidation sqref="J2:J41" showDropDown="0" showInputMessage="0" showErrorMessage="1" allowBlank="1" errorTitle="Välj i listan" error="Integration, RPA, AI-agent eller Lämna som det är" type="list">
      <formula1>"Integration,RPA,AI-agent,Lämna som det är"</formula1>
    </dataValidation>
    <dataValidation sqref="F2:F41" showDropDown="0" showInputMessage="0" showErrorMessage="1" allowBlank="1" errorTitle="1–5" error="Regelstabilitet anges 1–5" type="whole" operator="between">
      <formula1>1</formula1>
      <formula2>5</formula2>
    </dataValidation>
    <dataValidation sqref="E2:E41" showDropDown="0" showInputMessage="0" showErrorMessage="1" allowBlank="1" errorTitle="Procent" error="Skriv som procent, t.ex. 10 %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Partner</dc:creator>
  <dc:title xmlns:dc="http://purl.org/dc/elements/1.1/">Processkartläggning inför automatisering – mall</dc:title>
  <dcterms:created xmlns:dcterms="http://purl.org/dc/terms/" xmlns:xsi="http://www.w3.org/2001/XMLSchema-instance" xsi:type="dcterms:W3CDTF">2026-10-28T09:56:48Z</dcterms:created>
  <dcterms:modified xmlns:dcterms="http://purl.org/dc/terms/" xmlns:xsi="http://www.w3.org/2001/XMLSchema-instance" xsi:type="dcterms:W3CDTF">2026-10-28T09:56:48Z</dcterms:modified>
</cp:coreProperties>
</file>